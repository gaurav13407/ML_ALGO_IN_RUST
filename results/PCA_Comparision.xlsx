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ura\OneDrive\Desktop\Rust-Projects\ML_ALGO_Rewite\results\"/>
    </mc:Choice>
  </mc:AlternateContent>
  <xr:revisionPtr revIDLastSave="0" documentId="13_ncr:1_{8D58F427-0A0D-4A35-89CA-E941DE69C06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structions" sheetId="1" r:id="rId1"/>
    <sheet name="ExplainedVariance" sheetId="2" r:id="rId2"/>
    <sheet name="Components" sheetId="3" r:id="rId3"/>
    <sheet name="Reduced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4" l="1"/>
  <c r="R6" i="4"/>
  <c r="Q6" i="4"/>
  <c r="P6" i="4"/>
  <c r="O6" i="4"/>
  <c r="N6" i="4"/>
  <c r="S5" i="4"/>
  <c r="R5" i="4"/>
  <c r="Q5" i="4"/>
  <c r="P5" i="4"/>
  <c r="O5" i="4"/>
  <c r="N5" i="4"/>
  <c r="S4" i="4"/>
  <c r="R4" i="4"/>
  <c r="Q4" i="4"/>
  <c r="P4" i="4"/>
  <c r="O4" i="4"/>
  <c r="N4" i="4"/>
  <c r="S3" i="4"/>
  <c r="R3" i="4"/>
  <c r="Q3" i="4"/>
  <c r="P3" i="4"/>
  <c r="O3" i="4"/>
  <c r="N3" i="4"/>
  <c r="S2" i="4"/>
  <c r="R2" i="4"/>
  <c r="Q2" i="4"/>
  <c r="P2" i="4"/>
  <c r="O2" i="4"/>
  <c r="N2" i="4"/>
  <c r="E7" i="2"/>
  <c r="D7" i="2"/>
  <c r="E6" i="2"/>
  <c r="D6" i="2"/>
  <c r="E5" i="2"/>
  <c r="D5" i="2"/>
  <c r="E4" i="2"/>
  <c r="D4" i="2"/>
  <c r="E3" i="2"/>
  <c r="D3" i="2"/>
  <c r="E2" i="2"/>
  <c r="D2" i="2"/>
</calcChain>
</file>

<file path=xl/sharedStrings.xml><?xml version="1.0" encoding="utf-8"?>
<sst xmlns="http://schemas.openxmlformats.org/spreadsheetml/2006/main" count="71" uniqueCount="65">
  <si>
    <t>1) ExplainedVariance sheet:</t>
  </si>
  <si>
    <t xml:space="preserve">   - Column 'Python_ExplainedVariance' is pre-filled from your Python run.</t>
  </si>
  <si>
    <t xml:space="preserve">   - Paste Rust results into 'Rust_ExplainedVariance' (same order: PC1..PC6).</t>
  </si>
  <si>
    <t xml:space="preserve">   - 'Abs_Diff' and 'Pct_Diff' will compute automatically.</t>
  </si>
  <si>
    <t>2) Components sheet (PC weights / eigenvectors):</t>
  </si>
  <si>
    <t xml:space="preserve">   - For each PC row, paste Python component weights under columns 'Py_Feature_*'</t>
  </si>
  <si>
    <t xml:space="preserve">   - Paste Rust component weights under 'Rust_Feature_*' (same feature order).</t>
  </si>
  <si>
    <t xml:space="preserve">   - You can then compute differences manually or add formulas as needed.</t>
  </si>
  <si>
    <t>3) ReducedData sheet:</t>
  </si>
  <si>
    <t xml:space="preserve">   - Paste PCA-transformed data (Python) under 'Py_PC*' for all rows (one row per sample).</t>
  </si>
  <si>
    <t xml:space="preserve">   - Paste Rust transformed data under 'Rust_PC*' beside it.</t>
  </si>
  <si>
    <t xml:space="preserve">   - 'Diff_PC*' columns will compute absolute differences if you paste data starting on the same rows.</t>
  </si>
  <si>
    <t>Component</t>
  </si>
  <si>
    <t>Python_ExplainedVariance</t>
  </si>
  <si>
    <t>Rust_ExplainedVariance</t>
  </si>
  <si>
    <t>Abs_Diff</t>
  </si>
  <si>
    <t>Pct_Diff</t>
  </si>
  <si>
    <t>PC1</t>
  </si>
  <si>
    <t>PC2</t>
  </si>
  <si>
    <t>PC3</t>
  </si>
  <si>
    <t>PC4</t>
  </si>
  <si>
    <t>PC5</t>
  </si>
  <si>
    <t>PC6</t>
  </si>
  <si>
    <t>PC</t>
  </si>
  <si>
    <t>Py_Feature_1</t>
  </si>
  <si>
    <t>Py_Feature_2</t>
  </si>
  <si>
    <t>Py_Feature_3</t>
  </si>
  <si>
    <t>Py_Feature_4</t>
  </si>
  <si>
    <t>Py_Feature_5</t>
  </si>
  <si>
    <t>Py_Feature_6</t>
  </si>
  <si>
    <t>Py_Feature_7</t>
  </si>
  <si>
    <t>Py_Feature_8</t>
  </si>
  <si>
    <t>Py_Feature_9</t>
  </si>
  <si>
    <t>Rust_Feature_1</t>
  </si>
  <si>
    <t>Rust_Feature_2</t>
  </si>
  <si>
    <t>Rust_Feature_3</t>
  </si>
  <si>
    <t>Rust_Feature_4</t>
  </si>
  <si>
    <t>Rust_Feature_5</t>
  </si>
  <si>
    <t>Rust_Feature_6</t>
  </si>
  <si>
    <t>Rust_Feature_7</t>
  </si>
  <si>
    <t>Rust_Feature_8</t>
  </si>
  <si>
    <t>Rust_Feature_9</t>
  </si>
  <si>
    <t>PC7</t>
  </si>
  <si>
    <t>PC8</t>
  </si>
  <si>
    <t>PC9</t>
  </si>
  <si>
    <t>Row</t>
  </si>
  <si>
    <t>Py_PC1</t>
  </si>
  <si>
    <t>Py_PC2</t>
  </si>
  <si>
    <t>Py_PC3</t>
  </si>
  <si>
    <t>Py_PC4</t>
  </si>
  <si>
    <t>Py_PC5</t>
  </si>
  <si>
    <t>Py_PC6</t>
  </si>
  <si>
    <t>Rust_PC1</t>
  </si>
  <si>
    <t>Rust_PC2</t>
  </si>
  <si>
    <t>Rust_PC3</t>
  </si>
  <si>
    <t>Rust_PC4</t>
  </si>
  <si>
    <t>Rust_PC5</t>
  </si>
  <si>
    <t>Rust_PC6</t>
  </si>
  <si>
    <t>Diff_PC1</t>
  </si>
  <si>
    <t>Diff_PC2</t>
  </si>
  <si>
    <t>Diff_PC3</t>
  </si>
  <si>
    <t>Diff_PC4</t>
  </si>
  <si>
    <t>Diff_PC5</t>
  </si>
  <si>
    <t>Diff_PC6</t>
  </si>
  <si>
    <t>How to unserstand  this PCA comparison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</si>
</sst>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/>
  </sheetViews>
  <sheetFormatPr defaultRowHeight="15" x14ac:dyDescent="0.25"/>
  <sheetData>
    <row r="1" spans="1:1" x14ac:dyDescent="0.25">
      <c r="A1" t="s">
        <v>64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3" spans="1:1" x14ac:dyDescent="0.25">
      <c r="A13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E1" sqref="E1:E1048576"/>
    </sheetView>
  </sheetViews>
  <sheetFormatPr defaultRowHeight="15" x14ac:dyDescent="0.25"/>
  <cols>
    <col min="1" max="1" width="11.140625" customWidth="1"/>
    <col min="2" max="3" width="30" customWidth="1"/>
    <col min="4" max="4" width="19.140625" customWidth="1"/>
    <col min="5" max="5" width="12.85546875" customWidth="1"/>
  </cols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5">
      <c r="A2" t="s">
        <v>17</v>
      </c>
      <c r="B2">
        <v>0.45951700000000001</v>
      </c>
      <c r="D2">
        <f t="shared" ref="D2:D7" si="0">ABS(B2-C2)</f>
        <v>0.45951700000000001</v>
      </c>
      <c r="E2">
        <f t="shared" ref="E2:E7" si="1">IF(B2=0,"",ABS(B2-C2)/ABS(B2))</f>
        <v>1</v>
      </c>
    </row>
    <row r="3" spans="1:5" x14ac:dyDescent="0.25">
      <c r="A3" t="s">
        <v>18</v>
      </c>
      <c r="B3">
        <v>0.171816</v>
      </c>
      <c r="D3">
        <f t="shared" si="0"/>
        <v>0.171816</v>
      </c>
      <c r="E3">
        <f t="shared" si="1"/>
        <v>1</v>
      </c>
    </row>
    <row r="4" spans="1:5" x14ac:dyDescent="0.25">
      <c r="A4" t="s">
        <v>19</v>
      </c>
      <c r="B4">
        <v>0.13004299999999999</v>
      </c>
      <c r="D4">
        <f t="shared" si="0"/>
        <v>0.13004299999999999</v>
      </c>
      <c r="E4">
        <f t="shared" si="1"/>
        <v>1</v>
      </c>
    </row>
    <row r="5" spans="1:5" x14ac:dyDescent="0.25">
      <c r="A5" t="s">
        <v>20</v>
      </c>
      <c r="B5">
        <v>0.11053200000000001</v>
      </c>
      <c r="D5">
        <f t="shared" si="0"/>
        <v>0.11053200000000001</v>
      </c>
      <c r="E5">
        <f t="shared" si="1"/>
        <v>1</v>
      </c>
    </row>
    <row r="6" spans="1:5" x14ac:dyDescent="0.25">
      <c r="A6" t="s">
        <v>21</v>
      </c>
      <c r="B6">
        <v>7.3401999999999995E-2</v>
      </c>
      <c r="D6">
        <f t="shared" si="0"/>
        <v>7.3401999999999995E-2</v>
      </c>
      <c r="E6">
        <f t="shared" si="1"/>
        <v>1</v>
      </c>
    </row>
    <row r="7" spans="1:5" x14ac:dyDescent="0.25">
      <c r="A7" t="s">
        <v>22</v>
      </c>
      <c r="B7">
        <v>2.4841999999999999E-2</v>
      </c>
      <c r="D7">
        <f t="shared" si="0"/>
        <v>2.4841999999999999E-2</v>
      </c>
      <c r="E7">
        <f t="shared" si="1"/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"/>
  <sheetViews>
    <sheetView workbookViewId="0">
      <selection activeCell="S1" sqref="S1:S1048576"/>
    </sheetView>
  </sheetViews>
  <sheetFormatPr defaultRowHeight="15" x14ac:dyDescent="0.25"/>
  <cols>
    <col min="2" max="2" width="16" customWidth="1"/>
    <col min="3" max="3" width="16.42578125" customWidth="1"/>
    <col min="4" max="4" width="15.42578125" customWidth="1"/>
    <col min="5" max="5" width="16.5703125" customWidth="1"/>
    <col min="6" max="6" width="14.7109375" customWidth="1"/>
    <col min="7" max="7" width="16.28515625" customWidth="1"/>
    <col min="8" max="8" width="14.7109375" customWidth="1"/>
    <col min="9" max="9" width="16.5703125" customWidth="1"/>
    <col min="10" max="10" width="18.28515625" customWidth="1"/>
    <col min="11" max="11" width="21.140625" customWidth="1"/>
    <col min="12" max="12" width="19.42578125" customWidth="1"/>
    <col min="13" max="13" width="18.5703125" customWidth="1"/>
    <col min="14" max="14" width="17.140625" customWidth="1"/>
    <col min="15" max="15" width="17.42578125" customWidth="1"/>
    <col min="16" max="16" width="17.7109375" customWidth="1"/>
    <col min="17" max="17" width="16.7109375" customWidth="1"/>
    <col min="18" max="18" width="20.5703125" customWidth="1"/>
    <col min="19" max="19" width="16" customWidth="1"/>
  </cols>
  <sheetData>
    <row r="1" spans="1:19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</row>
    <row r="2" spans="1:19" x14ac:dyDescent="0.25">
      <c r="A2" t="s">
        <v>17</v>
      </c>
    </row>
    <row r="3" spans="1:19" x14ac:dyDescent="0.25">
      <c r="A3" t="s">
        <v>18</v>
      </c>
    </row>
    <row r="4" spans="1:19" x14ac:dyDescent="0.25">
      <c r="A4" t="s">
        <v>19</v>
      </c>
    </row>
    <row r="5" spans="1:19" x14ac:dyDescent="0.25">
      <c r="A5" t="s">
        <v>20</v>
      </c>
    </row>
    <row r="6" spans="1:19" x14ac:dyDescent="0.25">
      <c r="A6" t="s">
        <v>21</v>
      </c>
    </row>
    <row r="7" spans="1:19" x14ac:dyDescent="0.25">
      <c r="A7" t="s">
        <v>22</v>
      </c>
    </row>
    <row r="8" spans="1:19" x14ac:dyDescent="0.25">
      <c r="A8" t="s">
        <v>42</v>
      </c>
    </row>
    <row r="9" spans="1:19" x14ac:dyDescent="0.25">
      <c r="A9" t="s">
        <v>43</v>
      </c>
    </row>
    <row r="10" spans="1:19" x14ac:dyDescent="0.25">
      <c r="A10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"/>
  <sheetViews>
    <sheetView workbookViewId="0"/>
  </sheetViews>
  <sheetFormatPr defaultRowHeight="15" x14ac:dyDescent="0.25"/>
  <sheetData>
    <row r="1" spans="1:19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</row>
    <row r="2" spans="1:19" x14ac:dyDescent="0.25">
      <c r="A2">
        <v>1</v>
      </c>
      <c r="N2">
        <f t="shared" ref="N2:S6" si="0">ABS(B2-H2)</f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</row>
    <row r="3" spans="1:19" x14ac:dyDescent="0.25">
      <c r="A3">
        <v>2</v>
      </c>
      <c r="N3">
        <f t="shared" si="0"/>
        <v>0</v>
      </c>
      <c r="O3">
        <f t="shared" si="0"/>
        <v>0</v>
      </c>
      <c r="P3">
        <f t="shared" si="0"/>
        <v>0</v>
      </c>
      <c r="Q3">
        <f t="shared" si="0"/>
        <v>0</v>
      </c>
      <c r="R3">
        <f t="shared" si="0"/>
        <v>0</v>
      </c>
      <c r="S3">
        <f t="shared" si="0"/>
        <v>0</v>
      </c>
    </row>
    <row r="4" spans="1:19" x14ac:dyDescent="0.25">
      <c r="A4">
        <v>3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0"/>
        <v>0</v>
      </c>
      <c r="S4">
        <f t="shared" si="0"/>
        <v>0</v>
      </c>
    </row>
    <row r="5" spans="1:19" x14ac:dyDescent="0.25">
      <c r="A5">
        <v>4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</row>
    <row r="6" spans="1:19" x14ac:dyDescent="0.25">
      <c r="A6">
        <v>5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ExplainedVariance</vt:lpstr>
      <vt:lpstr>Components</vt:lpstr>
      <vt:lpstr>ReducedData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Joshi</cp:lastModifiedBy>
  <dcterms:created xsi:type="dcterms:W3CDTF">2025-12-12T01:42:43Z</dcterms:created>
  <dcterms:modified xsi:type="dcterms:W3CDTF">2025-12-12T01:46:34Z</dcterms:modified>
</cp:coreProperties>
</file>